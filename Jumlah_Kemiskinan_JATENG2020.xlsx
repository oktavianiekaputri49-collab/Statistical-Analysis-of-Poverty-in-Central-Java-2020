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5D4F9F20-81C7-47AE-B028-9073D6964C36}" xr6:coauthVersionLast="47" xr6:coauthVersionMax="47" xr10:uidLastSave="{00000000-0000-0000-0000-000000000000}"/>
  <bookViews>
    <workbookView xWindow="-110" yWindow="-110" windowWidth="19420" windowHeight="10300" xr2:uid="{6E940950-E3EF-4A7F-B719-56C17B6DA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D42" i="1"/>
  <c r="D44" i="1"/>
  <c r="D45" i="1"/>
  <c r="F38" i="1"/>
  <c r="G38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0" i="1" l="1"/>
  <c r="G4" i="1" s="1"/>
  <c r="D39" i="1"/>
  <c r="E38" i="1"/>
  <c r="F37" i="1"/>
  <c r="G37" i="1" s="1"/>
  <c r="E37" i="1"/>
  <c r="F36" i="1"/>
  <c r="G36" i="1" s="1"/>
  <c r="E36" i="1"/>
  <c r="F35" i="1"/>
  <c r="G35" i="1" s="1"/>
  <c r="E35" i="1"/>
  <c r="F34" i="1"/>
  <c r="G34" i="1" s="1"/>
  <c r="E34" i="1"/>
  <c r="F33" i="1"/>
  <c r="G33" i="1" s="1"/>
  <c r="E33" i="1"/>
  <c r="F32" i="1"/>
  <c r="G32" i="1" s="1"/>
  <c r="E32" i="1"/>
  <c r="F31" i="1"/>
  <c r="G31" i="1" s="1"/>
  <c r="E31" i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D41" i="1" l="1"/>
  <c r="D43" i="1"/>
</calcChain>
</file>

<file path=xl/sharedStrings.xml><?xml version="1.0" encoding="utf-8"?>
<sst xmlns="http://schemas.openxmlformats.org/spreadsheetml/2006/main" count="50" uniqueCount="45">
  <si>
    <t>Kabupaten/
Kota</t>
  </si>
  <si>
    <t>Jumlah 
Penduduk (Jiwa)</t>
  </si>
  <si>
    <t>Persentase 
Kemiskinan</t>
  </si>
  <si>
    <t>Kemiskinan 
(Ribuan)</t>
  </si>
  <si>
    <t>Proporsi</t>
  </si>
  <si>
    <t>xi-xbar</t>
  </si>
  <si>
    <t>(xi-xbar)^2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</si>
  <si>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</si>
  <si>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</si>
  <si>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</si>
  <si>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</si>
  <si>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</si>
  <si>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</si>
  <si>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</si>
  <si>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</si>
  <si>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</si>
  <si>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</si>
  <si>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</si>
  <si>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</si>
  <si>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</si>
  <si>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</si>
  <si>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</si>
  <si>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</si>
  <si>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</si>
  <si>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</si>
  <si>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</si>
  <si>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</si>
  <si>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</si>
  <si>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</si>
  <si>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</si>
  <si>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</si>
  <si>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</si>
  <si>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</si>
  <si>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</si>
  <si>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</si>
  <si>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</si>
  <si>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</si>
  <si>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</si>
  <si>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Jumlah Kemiskinan di Jawa Tengah Tahun 2020</t>
  </si>
  <si>
    <t>Total</t>
  </si>
  <si>
    <t>Rata-rata</t>
  </si>
  <si>
    <t>Total Proporsi</t>
  </si>
  <si>
    <t>Total S^2</t>
  </si>
  <si>
    <t>S^2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</si>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</sst>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43" fontId="3" fillId="0" borderId="1" xfId="1" applyFont="1" applyBorder="1"/>
    <xf numFmtId="43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2257-50DF-4728-B5C5-1A405ECDA0F6}">
  <dimension ref="A1:G45"/>
  <sheetViews>
    <sheetView tabSelected="1" topLeftCell="A29" workbookViewId="0">
      <selection activeCell="F5" sqref="F5"/>
    </sheetView>
  </sheetViews>
  <sheetFormatPr defaultRowHeight="15.5" x14ac:dyDescent="0.35"/>
  <cols>
    <col min="1" max="1" width="13.453125" style="4" customWidth="1"/>
    <col min="2" max="2" width="16.90625" style="4" customWidth="1"/>
    <col min="3" max="3" width="14.54296875" style="4" bestFit="1" customWidth="1"/>
    <col min="4" max="4" width="13.54296875" style="4" customWidth="1"/>
    <col min="5" max="5" width="9.54296875" style="4" customWidth="1"/>
    <col min="6" max="6" width="8.7265625" style="4"/>
    <col min="7" max="7" width="11.90625" style="4" customWidth="1"/>
    <col min="8" max="16384" width="8.7265625" style="4"/>
  </cols>
  <sheetData>
    <row r="1" spans="1:7" x14ac:dyDescent="0.35">
      <c r="A1" s="1" t="s">
        <v>38</v>
      </c>
      <c r="B1" s="2"/>
      <c r="C1" s="3"/>
    </row>
    <row r="2" spans="1:7" x14ac:dyDescent="0.35">
      <c r="B2" s="2"/>
      <c r="C2" s="3"/>
    </row>
    <row r="3" spans="1:7" ht="30" x14ac:dyDescent="0.35">
      <c r="A3" s="5" t="s">
        <v>0</v>
      </c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0" t="s">
        <v>6</v>
      </c>
    </row>
    <row r="4" spans="1:7" x14ac:dyDescent="0.35">
      <c r="A4" s="11" t="s">
        <v>7</v>
      </c>
      <c r="B4" s="11">
        <v>198.6</v>
      </c>
      <c r="C4" s="11">
        <v>11.46</v>
      </c>
      <c r="D4" s="15">
        <f>C4*B4/100</f>
        <v>22.75956</v>
      </c>
      <c r="E4" s="16">
        <f>D4/B4</f>
        <v>0.11460000000000001</v>
      </c>
      <c r="F4" s="16">
        <f>D4-$D$40</f>
        <v>8.5500574571428558</v>
      </c>
      <c r="G4" s="16">
        <f>F4^2</f>
        <v>73.10348252044416</v>
      </c>
    </row>
    <row r="5" spans="1:7" x14ac:dyDescent="0.35">
      <c r="A5" s="11" t="s">
        <v>8</v>
      </c>
      <c r="B5" s="11">
        <v>225.84</v>
      </c>
      <c r="C5" s="11">
        <v>13.26</v>
      </c>
      <c r="D5" s="15">
        <f t="shared" ref="D5:D38" si="0">C5*B5/100</f>
        <v>29.946383999999998</v>
      </c>
      <c r="E5" s="16">
        <f t="shared" ref="E5:E38" si="1">D5/B5</f>
        <v>0.1326</v>
      </c>
      <c r="F5" s="16">
        <f t="shared" ref="F5:F37" si="2">D5-$D$40</f>
        <v>15.736881457142854</v>
      </c>
      <c r="G5" s="16">
        <f t="shared" ref="G5:G37" si="3">F5^2</f>
        <v>247.6494379961666</v>
      </c>
    </row>
    <row r="6" spans="1:7" x14ac:dyDescent="0.35">
      <c r="A6" s="11" t="s">
        <v>9</v>
      </c>
      <c r="B6" s="11">
        <v>149.47999999999999</v>
      </c>
      <c r="C6" s="11">
        <v>15.9</v>
      </c>
      <c r="D6" s="15">
        <f t="shared" si="0"/>
        <v>23.767319999999998</v>
      </c>
      <c r="E6" s="16">
        <f t="shared" si="1"/>
        <v>0.159</v>
      </c>
      <c r="F6" s="16">
        <f t="shared" si="2"/>
        <v>9.5578174571428534</v>
      </c>
      <c r="G6" s="16">
        <f t="shared" si="3"/>
        <v>91.351874544064685</v>
      </c>
    </row>
    <row r="7" spans="1:7" x14ac:dyDescent="0.35">
      <c r="A7" s="11" t="s">
        <v>10</v>
      </c>
      <c r="B7" s="11">
        <v>144.94999999999999</v>
      </c>
      <c r="C7" s="11">
        <v>15.64</v>
      </c>
      <c r="D7" s="15">
        <f t="shared" si="0"/>
        <v>22.670180000000002</v>
      </c>
      <c r="E7" s="16">
        <f t="shared" si="1"/>
        <v>0.15640000000000004</v>
      </c>
      <c r="F7" s="16">
        <f t="shared" si="2"/>
        <v>8.4606774571428573</v>
      </c>
      <c r="G7" s="16">
        <f t="shared" si="3"/>
        <v>71.583063033805331</v>
      </c>
    </row>
    <row r="8" spans="1:7" x14ac:dyDescent="0.35">
      <c r="A8" s="11" t="s">
        <v>11</v>
      </c>
      <c r="B8" s="11">
        <v>211.09</v>
      </c>
      <c r="C8" s="11">
        <v>17.59</v>
      </c>
      <c r="D8" s="15">
        <f t="shared" si="0"/>
        <v>37.130730999999997</v>
      </c>
      <c r="E8" s="16">
        <f t="shared" si="1"/>
        <v>0.17589999999999997</v>
      </c>
      <c r="F8" s="16">
        <f t="shared" si="2"/>
        <v>22.921228457142853</v>
      </c>
      <c r="G8" s="16">
        <f t="shared" si="3"/>
        <v>525.38271398453537</v>
      </c>
    </row>
    <row r="9" spans="1:7" x14ac:dyDescent="0.35">
      <c r="A9" s="11" t="s">
        <v>12</v>
      </c>
      <c r="B9" s="11">
        <v>84.79</v>
      </c>
      <c r="C9" s="11">
        <v>11.78</v>
      </c>
      <c r="D9" s="15">
        <f t="shared" si="0"/>
        <v>9.9882619999999989</v>
      </c>
      <c r="E9" s="16">
        <f t="shared" si="1"/>
        <v>0.11779999999999997</v>
      </c>
      <c r="F9" s="16">
        <f t="shared" si="2"/>
        <v>-4.2212405428571458</v>
      </c>
      <c r="G9" s="16">
        <f t="shared" si="3"/>
        <v>17.818871720660891</v>
      </c>
    </row>
    <row r="10" spans="1:7" x14ac:dyDescent="0.35">
      <c r="A10" s="11" t="s">
        <v>13</v>
      </c>
      <c r="B10" s="11">
        <v>137.63999999999999</v>
      </c>
      <c r="C10" s="11">
        <v>17.36</v>
      </c>
      <c r="D10" s="15">
        <f t="shared" si="0"/>
        <v>23.894303999999998</v>
      </c>
      <c r="E10" s="16">
        <f t="shared" si="1"/>
        <v>0.1736</v>
      </c>
      <c r="F10" s="16">
        <f t="shared" si="2"/>
        <v>9.6848014571428536</v>
      </c>
      <c r="G10" s="16">
        <f t="shared" si="3"/>
        <v>93.795379264276335</v>
      </c>
    </row>
    <row r="11" spans="1:7" x14ac:dyDescent="0.35">
      <c r="A11" s="11" t="s">
        <v>14</v>
      </c>
      <c r="B11" s="11">
        <v>146.34</v>
      </c>
      <c r="C11" s="11">
        <v>11.27</v>
      </c>
      <c r="D11" s="15">
        <f t="shared" si="0"/>
        <v>16.492518</v>
      </c>
      <c r="E11" s="16">
        <f t="shared" si="1"/>
        <v>0.11269999999999999</v>
      </c>
      <c r="F11" s="16">
        <f t="shared" si="2"/>
        <v>2.2830154571428558</v>
      </c>
      <c r="G11" s="16">
        <f t="shared" si="3"/>
        <v>5.2121595775532032</v>
      </c>
    </row>
    <row r="12" spans="1:7" x14ac:dyDescent="0.35">
      <c r="A12" s="11" t="s">
        <v>15</v>
      </c>
      <c r="B12" s="11">
        <v>100.59</v>
      </c>
      <c r="C12" s="11">
        <v>10.18</v>
      </c>
      <c r="D12" s="15">
        <f t="shared" si="0"/>
        <v>10.240062</v>
      </c>
      <c r="E12" s="16">
        <f t="shared" si="1"/>
        <v>0.1018</v>
      </c>
      <c r="F12" s="16">
        <f t="shared" si="2"/>
        <v>-3.9694405428571446</v>
      </c>
      <c r="G12" s="16">
        <f t="shared" si="3"/>
        <v>15.756458223278024</v>
      </c>
    </row>
    <row r="13" spans="1:7" x14ac:dyDescent="0.35">
      <c r="A13" s="11" t="s">
        <v>16</v>
      </c>
      <c r="B13" s="11">
        <v>151.83000000000001</v>
      </c>
      <c r="C13" s="11">
        <v>12.89</v>
      </c>
      <c r="D13" s="15">
        <f t="shared" si="0"/>
        <v>19.570887000000003</v>
      </c>
      <c r="E13" s="16">
        <f t="shared" si="1"/>
        <v>0.12890000000000001</v>
      </c>
      <c r="F13" s="16">
        <f t="shared" si="2"/>
        <v>5.3613844571428579</v>
      </c>
      <c r="G13" s="16">
        <f t="shared" si="3"/>
        <v>28.744443297293017</v>
      </c>
    </row>
    <row r="14" spans="1:7" x14ac:dyDescent="0.35">
      <c r="A14" s="11" t="s">
        <v>17</v>
      </c>
      <c r="B14" s="11">
        <v>68.89</v>
      </c>
      <c r="C14" s="11">
        <v>7.68</v>
      </c>
      <c r="D14" s="15">
        <f t="shared" si="0"/>
        <v>5.2907520000000003</v>
      </c>
      <c r="E14" s="16">
        <f t="shared" si="1"/>
        <v>7.6800000000000007E-2</v>
      </c>
      <c r="F14" s="16">
        <f t="shared" si="2"/>
        <v>-8.9187505428571434</v>
      </c>
      <c r="G14" s="16">
        <f t="shared" si="3"/>
        <v>79.544111245714589</v>
      </c>
    </row>
    <row r="15" spans="1:7" x14ac:dyDescent="0.35">
      <c r="A15" s="11" t="s">
        <v>18</v>
      </c>
      <c r="B15" s="11">
        <v>104.37</v>
      </c>
      <c r="C15" s="11">
        <v>10.86</v>
      </c>
      <c r="D15" s="15">
        <f t="shared" si="0"/>
        <v>11.334582000000001</v>
      </c>
      <c r="E15" s="16">
        <f t="shared" si="1"/>
        <v>0.1086</v>
      </c>
      <c r="F15" s="16">
        <f t="shared" si="2"/>
        <v>-2.8749205428571436</v>
      </c>
      <c r="G15" s="16">
        <f t="shared" si="3"/>
        <v>8.2651681277420135</v>
      </c>
    </row>
    <row r="16" spans="1:7" x14ac:dyDescent="0.35">
      <c r="A16" s="11" t="s">
        <v>19</v>
      </c>
      <c r="B16" s="11">
        <v>91.72</v>
      </c>
      <c r="C16" s="11">
        <v>10.28</v>
      </c>
      <c r="D16" s="15">
        <f t="shared" si="0"/>
        <v>9.4288159999999994</v>
      </c>
      <c r="E16" s="16">
        <f t="shared" si="1"/>
        <v>0.10279999999999999</v>
      </c>
      <c r="F16" s="16">
        <f t="shared" si="2"/>
        <v>-4.7806865428571452</v>
      </c>
      <c r="G16" s="16">
        <f t="shared" si="3"/>
        <v>22.854963821055403</v>
      </c>
    </row>
    <row r="17" spans="1:7" x14ac:dyDescent="0.35">
      <c r="A17" s="11" t="s">
        <v>20</v>
      </c>
      <c r="B17" s="11">
        <v>119.38</v>
      </c>
      <c r="C17" s="11">
        <v>13.38</v>
      </c>
      <c r="D17" s="15">
        <f t="shared" si="0"/>
        <v>15.973044</v>
      </c>
      <c r="E17" s="16">
        <f t="shared" si="1"/>
        <v>0.1338</v>
      </c>
      <c r="F17" s="16">
        <f t="shared" si="2"/>
        <v>1.7635414571428552</v>
      </c>
      <c r="G17" s="16">
        <f t="shared" si="3"/>
        <v>3.110078471061545</v>
      </c>
    </row>
    <row r="18" spans="1:7" x14ac:dyDescent="0.35">
      <c r="A18" s="11" t="s">
        <v>21</v>
      </c>
      <c r="B18" s="11">
        <v>172.26</v>
      </c>
      <c r="C18" s="11">
        <v>12.46</v>
      </c>
      <c r="D18" s="15">
        <f t="shared" si="0"/>
        <v>21.463596000000003</v>
      </c>
      <c r="E18" s="16">
        <f t="shared" si="1"/>
        <v>0.12460000000000002</v>
      </c>
      <c r="F18" s="16">
        <f t="shared" si="2"/>
        <v>7.2540934571428579</v>
      </c>
      <c r="G18" s="16">
        <f t="shared" si="3"/>
        <v>52.621871884962822</v>
      </c>
    </row>
    <row r="19" spans="1:7" x14ac:dyDescent="0.35">
      <c r="A19" s="11" t="s">
        <v>22</v>
      </c>
      <c r="B19" s="11">
        <v>103.73</v>
      </c>
      <c r="C19" s="11">
        <v>11.96</v>
      </c>
      <c r="D19" s="15">
        <f t="shared" si="0"/>
        <v>12.406108000000001</v>
      </c>
      <c r="E19" s="16">
        <f t="shared" si="1"/>
        <v>0.11960000000000001</v>
      </c>
      <c r="F19" s="16">
        <f t="shared" si="2"/>
        <v>-1.8033945428571432</v>
      </c>
      <c r="G19" s="16">
        <f t="shared" si="3"/>
        <v>3.2522318772069245</v>
      </c>
    </row>
    <row r="20" spans="1:7" x14ac:dyDescent="0.35">
      <c r="A20" s="11" t="s">
        <v>23</v>
      </c>
      <c r="B20" s="11">
        <v>100.08</v>
      </c>
      <c r="C20" s="11">
        <v>15.6</v>
      </c>
      <c r="D20" s="15">
        <f t="shared" si="0"/>
        <v>15.61248</v>
      </c>
      <c r="E20" s="16">
        <f t="shared" si="1"/>
        <v>0.156</v>
      </c>
      <c r="F20" s="16">
        <f t="shared" si="2"/>
        <v>1.402977457142855</v>
      </c>
      <c r="G20" s="16">
        <f t="shared" si="3"/>
        <v>1.9683457452510316</v>
      </c>
    </row>
    <row r="21" spans="1:7" x14ac:dyDescent="0.35">
      <c r="A21" s="11" t="s">
        <v>24</v>
      </c>
      <c r="B21" s="11">
        <v>127.37</v>
      </c>
      <c r="C21" s="11">
        <v>10.08</v>
      </c>
      <c r="D21" s="15">
        <f t="shared" si="0"/>
        <v>12.838896</v>
      </c>
      <c r="E21" s="16">
        <f t="shared" si="1"/>
        <v>0.1008</v>
      </c>
      <c r="F21" s="16">
        <f t="shared" si="2"/>
        <v>-1.3706065428571446</v>
      </c>
      <c r="G21" s="16">
        <f t="shared" si="3"/>
        <v>1.8785622953228136</v>
      </c>
    </row>
    <row r="22" spans="1:7" x14ac:dyDescent="0.35">
      <c r="A22" s="11" t="s">
        <v>25</v>
      </c>
      <c r="B22" s="11">
        <v>64.239999999999995</v>
      </c>
      <c r="C22" s="11">
        <v>7.31</v>
      </c>
      <c r="D22" s="15">
        <f t="shared" si="0"/>
        <v>4.6959439999999999</v>
      </c>
      <c r="E22" s="16">
        <f t="shared" si="1"/>
        <v>7.3099999999999998E-2</v>
      </c>
      <c r="F22" s="16">
        <f t="shared" si="2"/>
        <v>-9.5135585428571439</v>
      </c>
      <c r="G22" s="16">
        <f t="shared" si="3"/>
        <v>90.507796148370147</v>
      </c>
    </row>
    <row r="23" spans="1:7" x14ac:dyDescent="0.35">
      <c r="A23" s="11" t="s">
        <v>26</v>
      </c>
      <c r="B23" s="11">
        <v>91.14</v>
      </c>
      <c r="C23" s="11">
        <v>7.17</v>
      </c>
      <c r="D23" s="15">
        <f t="shared" si="0"/>
        <v>6.5347379999999999</v>
      </c>
      <c r="E23" s="16">
        <f t="shared" si="1"/>
        <v>7.17E-2</v>
      </c>
      <c r="F23" s="16">
        <f t="shared" si="2"/>
        <v>-7.6747645428571447</v>
      </c>
      <c r="G23" s="16">
        <f t="shared" si="3"/>
        <v>58.90201078829724</v>
      </c>
    </row>
    <row r="24" spans="1:7" x14ac:dyDescent="0.35">
      <c r="A24" s="11" t="s">
        <v>27</v>
      </c>
      <c r="B24" s="11">
        <v>146.87</v>
      </c>
      <c r="C24" s="11">
        <v>12.54</v>
      </c>
      <c r="D24" s="15">
        <f t="shared" si="0"/>
        <v>18.417497999999998</v>
      </c>
      <c r="E24" s="16">
        <f t="shared" si="1"/>
        <v>0.12539999999999998</v>
      </c>
      <c r="F24" s="16">
        <f t="shared" si="2"/>
        <v>4.2079954571428537</v>
      </c>
      <c r="G24" s="16">
        <f t="shared" si="3"/>
        <v>17.707225767334894</v>
      </c>
    </row>
    <row r="25" spans="1:7" x14ac:dyDescent="0.35">
      <c r="A25" s="11" t="s">
        <v>28</v>
      </c>
      <c r="B25" s="11">
        <v>79.88</v>
      </c>
      <c r="C25" s="11">
        <v>7.51</v>
      </c>
      <c r="D25" s="15">
        <f t="shared" si="0"/>
        <v>5.9989879999999998</v>
      </c>
      <c r="E25" s="16">
        <f t="shared" si="1"/>
        <v>7.51E-2</v>
      </c>
      <c r="F25" s="16">
        <f t="shared" si="2"/>
        <v>-8.210514542857144</v>
      </c>
      <c r="G25" s="16">
        <f t="shared" si="3"/>
        <v>67.412549058468656</v>
      </c>
    </row>
    <row r="26" spans="1:7" x14ac:dyDescent="0.35">
      <c r="A26" s="11" t="s">
        <v>29</v>
      </c>
      <c r="B26" s="11">
        <v>77.33</v>
      </c>
      <c r="C26" s="11">
        <v>9.9600000000000009</v>
      </c>
      <c r="D26" s="15">
        <f t="shared" si="0"/>
        <v>7.7020680000000006</v>
      </c>
      <c r="E26" s="16">
        <f t="shared" si="1"/>
        <v>9.9600000000000008E-2</v>
      </c>
      <c r="F26" s="16">
        <f t="shared" si="2"/>
        <v>-6.5074345428571441</v>
      </c>
      <c r="G26" s="16">
        <f t="shared" si="3"/>
        <v>42.346704329570365</v>
      </c>
    </row>
    <row r="27" spans="1:7" x14ac:dyDescent="0.35">
      <c r="A27" s="11" t="s">
        <v>30</v>
      </c>
      <c r="B27" s="11">
        <v>97.49</v>
      </c>
      <c r="C27" s="11">
        <v>9.99</v>
      </c>
      <c r="D27" s="15">
        <f t="shared" si="0"/>
        <v>9.7392509999999994</v>
      </c>
      <c r="E27" s="16">
        <f t="shared" si="1"/>
        <v>9.9900000000000003E-2</v>
      </c>
      <c r="F27" s="16">
        <f t="shared" si="2"/>
        <v>-4.4702515428571452</v>
      </c>
      <c r="G27" s="16">
        <f t="shared" si="3"/>
        <v>19.983148856416687</v>
      </c>
    </row>
    <row r="28" spans="1:7" x14ac:dyDescent="0.35">
      <c r="A28" s="11" t="s">
        <v>31</v>
      </c>
      <c r="B28" s="11">
        <v>70.569999999999993</v>
      </c>
      <c r="C28" s="11">
        <v>9.1300000000000008</v>
      </c>
      <c r="D28" s="15">
        <f t="shared" si="0"/>
        <v>6.4430409999999991</v>
      </c>
      <c r="E28" s="16">
        <f t="shared" si="1"/>
        <v>9.1299999999999992E-2</v>
      </c>
      <c r="F28" s="16">
        <f t="shared" si="2"/>
        <v>-7.7664615428571455</v>
      </c>
      <c r="G28" s="16">
        <f t="shared" si="3"/>
        <v>60.317924896678996</v>
      </c>
    </row>
    <row r="29" spans="1:7" x14ac:dyDescent="0.35">
      <c r="A29" s="11" t="s">
        <v>32</v>
      </c>
      <c r="B29" s="11">
        <v>91.86</v>
      </c>
      <c r="C29" s="11">
        <v>10.19</v>
      </c>
      <c r="D29" s="15">
        <f t="shared" si="0"/>
        <v>9.3605339999999995</v>
      </c>
      <c r="E29" s="16">
        <f t="shared" si="1"/>
        <v>0.10189999999999999</v>
      </c>
      <c r="F29" s="16">
        <f t="shared" si="2"/>
        <v>-4.8489685428571452</v>
      </c>
      <c r="G29" s="16">
        <f t="shared" si="3"/>
        <v>23.512495929618147</v>
      </c>
    </row>
    <row r="30" spans="1:7" x14ac:dyDescent="0.35">
      <c r="A30" s="11" t="s">
        <v>33</v>
      </c>
      <c r="B30" s="11">
        <v>209.03</v>
      </c>
      <c r="C30" s="11">
        <v>16.02</v>
      </c>
      <c r="D30" s="15">
        <f t="shared" si="0"/>
        <v>33.486605999999995</v>
      </c>
      <c r="E30" s="16">
        <f t="shared" si="1"/>
        <v>0.16019999999999998</v>
      </c>
      <c r="F30" s="16">
        <f t="shared" si="2"/>
        <v>19.27710345714285</v>
      </c>
      <c r="G30" s="16">
        <f t="shared" si="3"/>
        <v>371.60671769738883</v>
      </c>
    </row>
    <row r="31" spans="1:7" x14ac:dyDescent="0.35">
      <c r="A31" s="11" t="s">
        <v>34</v>
      </c>
      <c r="B31" s="11">
        <v>117.5</v>
      </c>
      <c r="C31" s="11">
        <v>8.14</v>
      </c>
      <c r="D31" s="15">
        <f t="shared" si="0"/>
        <v>9.5645000000000007</v>
      </c>
      <c r="E31" s="16">
        <f t="shared" si="1"/>
        <v>8.14E-2</v>
      </c>
      <c r="F31" s="16">
        <f t="shared" si="2"/>
        <v>-4.645002542857144</v>
      </c>
      <c r="G31" s="16">
        <f t="shared" si="3"/>
        <v>21.576048623149333</v>
      </c>
    </row>
    <row r="32" spans="1:7" x14ac:dyDescent="0.35">
      <c r="A32" s="11" t="s">
        <v>35</v>
      </c>
      <c r="B32" s="11">
        <v>308.77999999999997</v>
      </c>
      <c r="C32" s="11">
        <v>17.03</v>
      </c>
      <c r="D32" s="15">
        <f t="shared" si="0"/>
        <v>52.585234</v>
      </c>
      <c r="E32" s="16">
        <f t="shared" si="1"/>
        <v>0.17030000000000001</v>
      </c>
      <c r="F32" s="16">
        <f t="shared" si="2"/>
        <v>38.375731457142855</v>
      </c>
      <c r="G32" s="16">
        <f t="shared" si="3"/>
        <v>1472.6967648707437</v>
      </c>
    </row>
    <row r="33" spans="1:7" x14ac:dyDescent="0.35">
      <c r="A33" s="11" t="s">
        <v>14</v>
      </c>
      <c r="B33" s="11">
        <v>9.27</v>
      </c>
      <c r="C33" s="11">
        <v>7.58</v>
      </c>
      <c r="D33" s="15">
        <f t="shared" si="0"/>
        <v>0.70266600000000001</v>
      </c>
      <c r="E33" s="16">
        <f t="shared" si="1"/>
        <v>7.5800000000000006E-2</v>
      </c>
      <c r="F33" s="16">
        <f t="shared" si="2"/>
        <v>-13.506836542857144</v>
      </c>
      <c r="G33" s="16">
        <f t="shared" si="3"/>
        <v>182.43463339546113</v>
      </c>
    </row>
    <row r="34" spans="1:7" x14ac:dyDescent="0.35">
      <c r="A34" s="11" t="s">
        <v>36</v>
      </c>
      <c r="B34" s="11">
        <v>47.03</v>
      </c>
      <c r="C34" s="11">
        <v>9.0299999999999994</v>
      </c>
      <c r="D34" s="15">
        <f t="shared" si="0"/>
        <v>4.2468089999999998</v>
      </c>
      <c r="E34" s="16">
        <f t="shared" si="1"/>
        <v>9.0299999999999991E-2</v>
      </c>
      <c r="F34" s="16">
        <f t="shared" si="2"/>
        <v>-9.9626935428571457</v>
      </c>
      <c r="G34" s="16">
        <f t="shared" si="3"/>
        <v>99.255262628887465</v>
      </c>
    </row>
    <row r="35" spans="1:7" x14ac:dyDescent="0.35">
      <c r="A35" s="11" t="s">
        <v>37</v>
      </c>
      <c r="B35" s="11">
        <v>9.69</v>
      </c>
      <c r="C35" s="11">
        <v>4.9400000000000004</v>
      </c>
      <c r="D35" s="15">
        <f t="shared" si="0"/>
        <v>0.478686</v>
      </c>
      <c r="E35" s="16">
        <f t="shared" si="1"/>
        <v>4.9399999999999999E-2</v>
      </c>
      <c r="F35" s="16">
        <f t="shared" si="2"/>
        <v>-13.730816542857145</v>
      </c>
      <c r="G35" s="16">
        <f t="shared" si="3"/>
        <v>188.53532293359945</v>
      </c>
    </row>
    <row r="36" spans="1:7" x14ac:dyDescent="0.35">
      <c r="A36" s="11" t="s">
        <v>28</v>
      </c>
      <c r="B36" s="11">
        <v>79.58</v>
      </c>
      <c r="C36" s="11">
        <v>4.34</v>
      </c>
      <c r="D36" s="15">
        <f t="shared" si="0"/>
        <v>3.4537719999999994</v>
      </c>
      <c r="E36" s="16">
        <f t="shared" si="1"/>
        <v>4.3399999999999994E-2</v>
      </c>
      <c r="F36" s="16">
        <f t="shared" si="2"/>
        <v>-10.755730542857146</v>
      </c>
      <c r="G36" s="16">
        <f t="shared" si="3"/>
        <v>115.68573951055006</v>
      </c>
    </row>
    <row r="37" spans="1:7" x14ac:dyDescent="0.35">
      <c r="A37" s="11" t="s">
        <v>32</v>
      </c>
      <c r="B37" s="11">
        <v>22.16</v>
      </c>
      <c r="C37" s="11">
        <v>7.17</v>
      </c>
      <c r="D37" s="15">
        <f t="shared" si="0"/>
        <v>1.5888720000000001</v>
      </c>
      <c r="E37" s="16">
        <f t="shared" si="1"/>
        <v>7.17E-2</v>
      </c>
      <c r="F37" s="16">
        <f t="shared" si="2"/>
        <v>-12.620630542857144</v>
      </c>
      <c r="G37" s="16">
        <f t="shared" si="3"/>
        <v>159.28031529929862</v>
      </c>
    </row>
    <row r="38" spans="1:7" x14ac:dyDescent="0.35">
      <c r="A38" s="11" t="s">
        <v>34</v>
      </c>
      <c r="B38" s="11">
        <v>19.55</v>
      </c>
      <c r="C38" s="11">
        <v>7.8</v>
      </c>
      <c r="D38" s="15">
        <f t="shared" si="0"/>
        <v>1.5249000000000001</v>
      </c>
      <c r="E38" s="16">
        <f t="shared" si="1"/>
        <v>7.8E-2</v>
      </c>
      <c r="F38" s="16">
        <f>D38-$D$40</f>
        <v>-12.684602542857144</v>
      </c>
      <c r="G38" s="16">
        <f>F38^2</f>
        <v>160.89914167025793</v>
      </c>
    </row>
    <row r="39" spans="1:7" x14ac:dyDescent="0.35">
      <c r="C39" s="12" t="s">
        <v>39</v>
      </c>
      <c r="D39" s="13">
        <f>SUM(D4:D38)</f>
        <v>497.33258900000004</v>
      </c>
    </row>
    <row r="40" spans="1:7" x14ac:dyDescent="0.35">
      <c r="C40" s="12" t="s">
        <v>40</v>
      </c>
      <c r="D40" s="14">
        <f>AVERAGE(D4:D38)</f>
        <v>14.209502542857145</v>
      </c>
    </row>
    <row r="41" spans="1:7" x14ac:dyDescent="0.35">
      <c r="C41" s="12" t="s">
        <v>41</v>
      </c>
      <c r="D41" s="14">
        <f>SUM(E4:E38)</f>
        <v>3.8548000000000004</v>
      </c>
    </row>
    <row r="42" spans="1:7" x14ac:dyDescent="0.35">
      <c r="C42" s="12" t="s">
        <v>4</v>
      </c>
      <c r="D42" s="14">
        <f>D41/35</f>
        <v>0.11013714285714286</v>
      </c>
    </row>
    <row r="43" spans="1:7" x14ac:dyDescent="0.35">
      <c r="C43" s="12" t="s">
        <v>42</v>
      </c>
      <c r="D43" s="13">
        <f>SUM(G4:G38)</f>
        <v>4496.5530200344865</v>
      </c>
    </row>
    <row r="44" spans="1:7" x14ac:dyDescent="0.35">
      <c r="C44" s="12" t="s">
        <v>43</v>
      </c>
      <c r="D44" s="14">
        <f>D43/34</f>
        <v>132.25155941277902</v>
      </c>
    </row>
    <row r="45" spans="1:7" x14ac:dyDescent="0.35">
      <c r="C45" s="12" t="s">
        <v>44</v>
      </c>
      <c r="D45" s="14">
        <f>1-D42</f>
        <v>0.88986285714285718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2026-06-02T14:07:19Z</dcterms:created>
  <dcterms:modified xsi:type="dcterms:W3CDTF">2026-06-02T16:24:56Z</dcterms:modified>
</cp:coreProperties>
</file>